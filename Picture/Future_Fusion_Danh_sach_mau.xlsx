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sach mau" sheetId="1" state="visible" r:id="rId3"/>
    <sheet name="Tong hop bo suu ta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<sst xmlns="http://schemas.openxmlformats.org/spreadsheetml/2006/main" count="207" uniqueCount="79">
  <si>
    <t xml:space="preserve">STT</t>
  </si>
  <si>
    <t xml:space="preserve">Ten file anh (PNG)</t>
  </si>
  <si>
    <t xml:space="preserve">Bo suu tap</t>
  </si>
  <si>
    <t xml:space="preserve">Ten mau (mau sac)</t>
  </si>
  <si>
    <t xml:space="preserve">Kich thuoc (cm)</t>
  </si>
  <si>
    <t xml:space="preserve">Be mat</t>
  </si>
  <si>
    <t xml:space="preserve">Xuong</t>
  </si>
  <si>
    <t xml:space="preserve">Do day</t>
  </si>
  <si>
    <t xml:space="preserve">Kich thuoc anh goc (px)</t>
  </si>
  <si>
    <t xml:space="preserve">Trang PDF goc</t>
  </si>
  <si>
    <t xml:space="preserve">001_TERRA_NOVA_PEBBLE.png</t>
  </si>
  <si>
    <t xml:space="preserve">TERRA NOVA</t>
  </si>
  <si>
    <t xml:space="preserve">Pebble</t>
  </si>
  <si>
    <t xml:space="preserve">60x60, 60x120, 120x120, 120x240</t>
  </si>
  <si>
    <t xml:space="preserve">Micro-diamond</t>
  </si>
  <si>
    <t xml:space="preserve">Porcelain</t>
  </si>
  <si>
    <t xml:space="preserve">6mm, 9mm</t>
  </si>
  <si>
    <t xml:space="preserve">217x218</t>
  </si>
  <si>
    <t xml:space="preserve">002_TERRA_NOVA_LAVA.png</t>
  </si>
  <si>
    <t xml:space="preserve">Lava</t>
  </si>
  <si>
    <t xml:space="preserve">224x224</t>
  </si>
  <si>
    <t xml:space="preserve">003_METIS_TAUPE.png</t>
  </si>
  <si>
    <t xml:space="preserve">METIS</t>
  </si>
  <si>
    <t xml:space="preserve">Taupe</t>
  </si>
  <si>
    <t xml:space="preserve">30x60, 60x60, 60x120, 120x120, 120x240</t>
  </si>
  <si>
    <t xml:space="preserve">Rocker, Micro-diamond</t>
  </si>
  <si>
    <t xml:space="preserve">113x114</t>
  </si>
  <si>
    <t xml:space="preserve">004_METIS_BEIGE.png</t>
  </si>
  <si>
    <t xml:space="preserve">Beige</t>
  </si>
  <si>
    <t xml:space="preserve">113x115</t>
  </si>
  <si>
    <t xml:space="preserve">005_METIS_LIGHT_GRAY.png</t>
  </si>
  <si>
    <t xml:space="preserve">Light Gray</t>
  </si>
  <si>
    <t xml:space="preserve">113x113</t>
  </si>
  <si>
    <t xml:space="preserve">006_METIS_GRAY.png</t>
  </si>
  <si>
    <t xml:space="preserve">Gray</t>
  </si>
  <si>
    <t xml:space="preserve">007_METIS_CHARCOAL.png</t>
  </si>
  <si>
    <t xml:space="preserve">Charcoal</t>
  </si>
  <si>
    <t xml:space="preserve">008_OSLO_IVORY.png</t>
  </si>
  <si>
    <t xml:space="preserve">OSLO</t>
  </si>
  <si>
    <t xml:space="preserve">Ivory</t>
  </si>
  <si>
    <t xml:space="preserve">120x120, 120x240</t>
  </si>
  <si>
    <t xml:space="preserve">Mai bong, Micro-diamond</t>
  </si>
  <si>
    <t xml:space="preserve">154x154</t>
  </si>
  <si>
    <t xml:space="preserve">009_OSLO_GREIGE.png</t>
  </si>
  <si>
    <t xml:space="preserve">Greige</t>
  </si>
  <si>
    <t xml:space="preserve">010_SOFIA_IVORY.png</t>
  </si>
  <si>
    <t xml:space="preserve">SOFIA</t>
  </si>
  <si>
    <t xml:space="preserve">60x120, 120x120, 120x240</t>
  </si>
  <si>
    <t xml:space="preserve">290x250</t>
  </si>
  <si>
    <t xml:space="preserve">011_SOFIA_GRAY.png</t>
  </si>
  <si>
    <t xml:space="preserve">012_SOFIA_DARK_GRAY.png</t>
  </si>
  <si>
    <t xml:space="preserve">Dark Gray</t>
  </si>
  <si>
    <t xml:space="preserve">013_PIETRA_2.0_NEO_IVORY.png</t>
  </si>
  <si>
    <t xml:space="preserve">PIETRA 2.0 NEO</t>
  </si>
  <si>
    <t xml:space="preserve">120x120</t>
  </si>
  <si>
    <t xml:space="preserve">Matt min</t>
  </si>
  <si>
    <t xml:space="preserve">148x147</t>
  </si>
  <si>
    <t xml:space="preserve">014_PIETRA_2.0_NEO_SILVER.png</t>
  </si>
  <si>
    <t xml:space="preserve">Silver</t>
  </si>
  <si>
    <t xml:space="preserve">150x148</t>
  </si>
  <si>
    <t xml:space="preserve">015_PIETRA_2.0_NEO_GREY.png</t>
  </si>
  <si>
    <t xml:space="preserve">Grey</t>
  </si>
  <si>
    <t xml:space="preserve">150x147</t>
  </si>
  <si>
    <t xml:space="preserve">016_PIETRA_2.0_NEO_CHARCOAL.png</t>
  </si>
  <si>
    <t xml:space="preserve">017_SANDALAS_NEO_OLIVER_DARK.png</t>
  </si>
  <si>
    <t xml:space="preserve">SANDALAS NEO</t>
  </si>
  <si>
    <t xml:space="preserve">Oliver Dark</t>
  </si>
  <si>
    <t xml:space="preserve">30x60, 60x60, 60x120, 120x120</t>
  </si>
  <si>
    <t xml:space="preserve">140x138</t>
  </si>
  <si>
    <t xml:space="preserve">018_SANDALAS_NEO_WEST_COAT.png</t>
  </si>
  <si>
    <t xml:space="preserve">West Coat</t>
  </si>
  <si>
    <t xml:space="preserve">141x138</t>
  </si>
  <si>
    <t xml:space="preserve">019_SANDALAS_NEO_SMOKE_WHITE.png</t>
  </si>
  <si>
    <t xml:space="preserve">Smoke White</t>
  </si>
  <si>
    <t xml:space="preserve">020_SANDALAS_NEO_SAFARI_BISQUE.png</t>
  </si>
  <si>
    <t xml:space="preserve">Safari Bisque</t>
  </si>
  <si>
    <t xml:space="preserve">Bo suu tap (Collection)</t>
  </si>
  <si>
    <t xml:space="preserve">So luong mau mau</t>
  </si>
  <si>
    <t xml:space="preserve">Tong cong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</si>
</sst>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n">
        <v>2</v>
      </c>
    </row>
    <row r="3" customFormat="false" ht="15" hidden="false" customHeight="false" outlineLevel="0" collapsed="false">
      <c r="A3" s="2" t="n">
        <v>2</v>
      </c>
      <c r="B3" s="2" t="s">
        <v>18</v>
      </c>
      <c r="C3" s="2" t="s">
        <v>11</v>
      </c>
      <c r="D3" s="2" t="s">
        <v>19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20</v>
      </c>
      <c r="J3" s="2" t="n">
        <v>2</v>
      </c>
    </row>
    <row r="4" customFormat="false" ht="15" hidden="false" customHeight="false" outlineLevel="0" collapsed="false">
      <c r="A4" s="2" t="n">
        <v>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15</v>
      </c>
      <c r="H4" s="2" t="s">
        <v>16</v>
      </c>
      <c r="I4" s="2" t="s">
        <v>26</v>
      </c>
      <c r="J4" s="2" t="n">
        <v>3</v>
      </c>
    </row>
    <row r="5" customFormat="false" ht="15" hidden="false" customHeight="false" outlineLevel="0" collapsed="false">
      <c r="A5" s="2" t="n">
        <v>4</v>
      </c>
      <c r="B5" s="2" t="s">
        <v>27</v>
      </c>
      <c r="C5" s="2" t="s">
        <v>22</v>
      </c>
      <c r="D5" s="2" t="s">
        <v>28</v>
      </c>
      <c r="E5" s="2" t="s">
        <v>24</v>
      </c>
      <c r="F5" s="2" t="s">
        <v>25</v>
      </c>
      <c r="G5" s="2" t="s">
        <v>15</v>
      </c>
      <c r="H5" s="2" t="s">
        <v>16</v>
      </c>
      <c r="I5" s="2" t="s">
        <v>29</v>
      </c>
      <c r="J5" s="2" t="n">
        <v>3</v>
      </c>
    </row>
    <row r="6" customFormat="false" ht="15" hidden="false" customHeight="false" outlineLevel="0" collapsed="false">
      <c r="A6" s="2" t="n">
        <v>5</v>
      </c>
      <c r="B6" s="2" t="s">
        <v>30</v>
      </c>
      <c r="C6" s="2" t="s">
        <v>22</v>
      </c>
      <c r="D6" s="2" t="s">
        <v>31</v>
      </c>
      <c r="E6" s="2" t="s">
        <v>24</v>
      </c>
      <c r="F6" s="2" t="s">
        <v>25</v>
      </c>
      <c r="G6" s="2" t="s">
        <v>15</v>
      </c>
      <c r="H6" s="2" t="s">
        <v>16</v>
      </c>
      <c r="I6" s="2" t="s">
        <v>32</v>
      </c>
      <c r="J6" s="2" t="n">
        <v>3</v>
      </c>
    </row>
    <row r="7" customFormat="false" ht="15" hidden="false" customHeight="false" outlineLevel="0" collapsed="false">
      <c r="A7" s="2" t="n">
        <v>6</v>
      </c>
      <c r="B7" s="2" t="s">
        <v>33</v>
      </c>
      <c r="C7" s="2" t="s">
        <v>22</v>
      </c>
      <c r="D7" s="2" t="s">
        <v>34</v>
      </c>
      <c r="E7" s="2" t="s">
        <v>24</v>
      </c>
      <c r="F7" s="2" t="s">
        <v>25</v>
      </c>
      <c r="G7" s="2" t="s">
        <v>15</v>
      </c>
      <c r="H7" s="2" t="s">
        <v>16</v>
      </c>
      <c r="I7" s="2" t="s">
        <v>32</v>
      </c>
      <c r="J7" s="2" t="n">
        <v>3</v>
      </c>
    </row>
    <row r="8" customFormat="false" ht="15" hidden="false" customHeight="false" outlineLevel="0" collapsed="false">
      <c r="A8" s="2" t="n">
        <v>7</v>
      </c>
      <c r="B8" s="2" t="s">
        <v>35</v>
      </c>
      <c r="C8" s="2" t="s">
        <v>22</v>
      </c>
      <c r="D8" s="2" t="s">
        <v>36</v>
      </c>
      <c r="E8" s="2" t="s">
        <v>24</v>
      </c>
      <c r="F8" s="2" t="s">
        <v>25</v>
      </c>
      <c r="G8" s="2" t="s">
        <v>15</v>
      </c>
      <c r="H8" s="2" t="s">
        <v>16</v>
      </c>
      <c r="I8" s="2" t="s">
        <v>32</v>
      </c>
      <c r="J8" s="2" t="n">
        <v>3</v>
      </c>
    </row>
    <row r="9" customFormat="false" ht="15" hidden="false" customHeight="false" outlineLevel="0" collapsed="false">
      <c r="A9" s="2" t="n">
        <v>8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15</v>
      </c>
      <c r="H9" s="2" t="s">
        <v>16</v>
      </c>
      <c r="I9" s="2" t="s">
        <v>42</v>
      </c>
      <c r="J9" s="2" t="n">
        <v>4</v>
      </c>
    </row>
    <row r="10" customFormat="false" ht="15" hidden="false" customHeight="false" outlineLevel="0" collapsed="false">
      <c r="A10" s="2" t="n">
        <v>9</v>
      </c>
      <c r="B10" s="2" t="s">
        <v>43</v>
      </c>
      <c r="C10" s="2" t="s">
        <v>38</v>
      </c>
      <c r="D10" s="2" t="s">
        <v>44</v>
      </c>
      <c r="E10" s="2" t="s">
        <v>40</v>
      </c>
      <c r="F10" s="2" t="s">
        <v>41</v>
      </c>
      <c r="G10" s="2" t="s">
        <v>15</v>
      </c>
      <c r="H10" s="2" t="s">
        <v>16</v>
      </c>
      <c r="I10" s="2" t="s">
        <v>42</v>
      </c>
      <c r="J10" s="2" t="n">
        <v>4</v>
      </c>
    </row>
    <row r="11" customFormat="false" ht="15" hidden="false" customHeight="false" outlineLevel="0" collapsed="false">
      <c r="A11" s="2" t="n">
        <v>10</v>
      </c>
      <c r="B11" s="2" t="s">
        <v>45</v>
      </c>
      <c r="C11" s="2" t="s">
        <v>46</v>
      </c>
      <c r="D11" s="2" t="s">
        <v>39</v>
      </c>
      <c r="E11" s="2" t="s">
        <v>47</v>
      </c>
      <c r="F11" s="2" t="s">
        <v>41</v>
      </c>
      <c r="G11" s="2" t="s">
        <v>15</v>
      </c>
      <c r="H11" s="2" t="s">
        <v>16</v>
      </c>
      <c r="I11" s="2" t="s">
        <v>48</v>
      </c>
      <c r="J11" s="2" t="n">
        <v>5</v>
      </c>
    </row>
    <row r="12" customFormat="false" ht="15" hidden="false" customHeight="false" outlineLevel="0" collapsed="false">
      <c r="A12" s="2" t="n">
        <v>11</v>
      </c>
      <c r="B12" s="2" t="s">
        <v>49</v>
      </c>
      <c r="C12" s="2" t="s">
        <v>46</v>
      </c>
      <c r="D12" s="2" t="s">
        <v>34</v>
      </c>
      <c r="E12" s="2" t="s">
        <v>47</v>
      </c>
      <c r="F12" s="2" t="s">
        <v>41</v>
      </c>
      <c r="G12" s="2" t="s">
        <v>15</v>
      </c>
      <c r="H12" s="2" t="s">
        <v>16</v>
      </c>
      <c r="I12" s="2" t="s">
        <v>48</v>
      </c>
      <c r="J12" s="2" t="n">
        <v>5</v>
      </c>
    </row>
    <row r="13" customFormat="false" ht="15" hidden="false" customHeight="false" outlineLevel="0" collapsed="false">
      <c r="A13" s="2" t="n">
        <v>12</v>
      </c>
      <c r="B13" s="2" t="s">
        <v>50</v>
      </c>
      <c r="C13" s="2" t="s">
        <v>46</v>
      </c>
      <c r="D13" s="2" t="s">
        <v>51</v>
      </c>
      <c r="E13" s="2" t="s">
        <v>47</v>
      </c>
      <c r="F13" s="2" t="s">
        <v>41</v>
      </c>
      <c r="G13" s="2" t="s">
        <v>15</v>
      </c>
      <c r="H13" s="2" t="s">
        <v>16</v>
      </c>
      <c r="I13" s="2" t="s">
        <v>48</v>
      </c>
      <c r="J13" s="2" t="n">
        <v>5</v>
      </c>
    </row>
    <row r="14" customFormat="false" ht="15" hidden="false" customHeight="false" outlineLevel="0" collapsed="false">
      <c r="A14" s="2" t="n">
        <v>13</v>
      </c>
      <c r="B14" s="2" t="s">
        <v>52</v>
      </c>
      <c r="C14" s="2" t="s">
        <v>53</v>
      </c>
      <c r="D14" s="2" t="s">
        <v>39</v>
      </c>
      <c r="E14" s="2" t="s">
        <v>54</v>
      </c>
      <c r="F14" s="2" t="s">
        <v>55</v>
      </c>
      <c r="G14" s="2" t="s">
        <v>15</v>
      </c>
      <c r="H14" s="2" t="s">
        <v>16</v>
      </c>
      <c r="I14" s="2" t="s">
        <v>56</v>
      </c>
      <c r="J14" s="2" t="n">
        <v>6</v>
      </c>
    </row>
    <row r="15" customFormat="false" ht="15" hidden="false" customHeight="false" outlineLevel="0" collapsed="false">
      <c r="A15" s="2" t="n">
        <v>14</v>
      </c>
      <c r="B15" s="2" t="s">
        <v>57</v>
      </c>
      <c r="C15" s="2" t="s">
        <v>53</v>
      </c>
      <c r="D15" s="2" t="s">
        <v>58</v>
      </c>
      <c r="E15" s="2" t="s">
        <v>54</v>
      </c>
      <c r="F15" s="2" t="s">
        <v>55</v>
      </c>
      <c r="G15" s="2" t="s">
        <v>15</v>
      </c>
      <c r="H15" s="2" t="s">
        <v>16</v>
      </c>
      <c r="I15" s="2" t="s">
        <v>59</v>
      </c>
      <c r="J15" s="2" t="n">
        <v>6</v>
      </c>
    </row>
    <row r="16" customFormat="false" ht="15" hidden="false" customHeight="false" outlineLevel="0" collapsed="false">
      <c r="A16" s="2" t="n">
        <v>15</v>
      </c>
      <c r="B16" s="2" t="s">
        <v>60</v>
      </c>
      <c r="C16" s="2" t="s">
        <v>53</v>
      </c>
      <c r="D16" s="2" t="s">
        <v>61</v>
      </c>
      <c r="E16" s="2" t="s">
        <v>54</v>
      </c>
      <c r="F16" s="2" t="s">
        <v>55</v>
      </c>
      <c r="G16" s="2" t="s">
        <v>15</v>
      </c>
      <c r="H16" s="2" t="s">
        <v>16</v>
      </c>
      <c r="I16" s="2" t="s">
        <v>62</v>
      </c>
      <c r="J16" s="2" t="n">
        <v>6</v>
      </c>
    </row>
    <row r="17" customFormat="false" ht="15" hidden="false" customHeight="false" outlineLevel="0" collapsed="false">
      <c r="A17" s="2" t="n">
        <v>16</v>
      </c>
      <c r="B17" s="2" t="s">
        <v>63</v>
      </c>
      <c r="C17" s="2" t="s">
        <v>53</v>
      </c>
      <c r="D17" s="2" t="s">
        <v>36</v>
      </c>
      <c r="E17" s="2" t="s">
        <v>54</v>
      </c>
      <c r="F17" s="2" t="s">
        <v>55</v>
      </c>
      <c r="G17" s="2" t="s">
        <v>15</v>
      </c>
      <c r="H17" s="2" t="s">
        <v>16</v>
      </c>
      <c r="I17" s="2" t="s">
        <v>62</v>
      </c>
      <c r="J17" s="2" t="n">
        <v>6</v>
      </c>
    </row>
    <row r="18" customFormat="false" ht="15" hidden="false" customHeight="false" outlineLevel="0" collapsed="false">
      <c r="A18" s="2" t="n">
        <v>17</v>
      </c>
      <c r="B18" s="2" t="s">
        <v>64</v>
      </c>
      <c r="C18" s="2" t="s">
        <v>65</v>
      </c>
      <c r="D18" s="2" t="s">
        <v>66</v>
      </c>
      <c r="E18" s="2" t="s">
        <v>67</v>
      </c>
      <c r="F18" s="2" t="s">
        <v>14</v>
      </c>
      <c r="G18" s="2" t="s">
        <v>15</v>
      </c>
      <c r="H18" s="2" t="s">
        <v>16</v>
      </c>
      <c r="I18" s="2" t="s">
        <v>68</v>
      </c>
      <c r="J18" s="2" t="n">
        <v>7</v>
      </c>
    </row>
    <row r="19" customFormat="false" ht="15" hidden="false" customHeight="false" outlineLevel="0" collapsed="false">
      <c r="A19" s="2" t="n">
        <v>18</v>
      </c>
      <c r="B19" s="2" t="s">
        <v>69</v>
      </c>
      <c r="C19" s="2" t="s">
        <v>65</v>
      </c>
      <c r="D19" s="2" t="s">
        <v>70</v>
      </c>
      <c r="E19" s="2" t="s">
        <v>67</v>
      </c>
      <c r="F19" s="2" t="s">
        <v>14</v>
      </c>
      <c r="G19" s="2" t="s">
        <v>15</v>
      </c>
      <c r="H19" s="2" t="s">
        <v>16</v>
      </c>
      <c r="I19" s="2" t="s">
        <v>71</v>
      </c>
      <c r="J19" s="2" t="n">
        <v>7</v>
      </c>
    </row>
    <row r="20" customFormat="false" ht="15" hidden="false" customHeight="false" outlineLevel="0" collapsed="false">
      <c r="A20" s="2" t="n">
        <v>19</v>
      </c>
      <c r="B20" s="2" t="s">
        <v>72</v>
      </c>
      <c r="C20" s="2" t="s">
        <v>65</v>
      </c>
      <c r="D20" s="2" t="s">
        <v>73</v>
      </c>
      <c r="E20" s="2" t="s">
        <v>67</v>
      </c>
      <c r="F20" s="2" t="s">
        <v>14</v>
      </c>
      <c r="G20" s="2" t="s">
        <v>15</v>
      </c>
      <c r="H20" s="2" t="s">
        <v>16</v>
      </c>
      <c r="I20" s="2" t="s">
        <v>68</v>
      </c>
      <c r="J20" s="2" t="n">
        <v>7</v>
      </c>
    </row>
    <row r="21" customFormat="false" ht="15" hidden="false" customHeight="false" outlineLevel="0" collapsed="false">
      <c r="A21" s="2" t="n">
        <v>20</v>
      </c>
      <c r="B21" s="2" t="s">
        <v>74</v>
      </c>
      <c r="C21" s="2" t="s">
        <v>65</v>
      </c>
      <c r="D21" s="2" t="s">
        <v>75</v>
      </c>
      <c r="E21" s="2" t="s">
        <v>67</v>
      </c>
      <c r="F21" s="2" t="s">
        <v>14</v>
      </c>
      <c r="G21" s="2" t="s">
        <v>15</v>
      </c>
      <c r="H21" s="2" t="s">
        <v>16</v>
      </c>
      <c r="I21" s="2" t="s">
        <v>68</v>
      </c>
      <c r="J21" s="2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6" min="5" style="0" width="12"/>
  </cols>
  <sheetData>
    <row r="1" customFormat="false" ht="26.85" hidden="false" customHeight="false" outlineLevel="0" collapsed="false">
      <c r="A1" s="1" t="s">
        <v>76</v>
      </c>
      <c r="B1" s="1" t="s">
        <v>77</v>
      </c>
      <c r="C1" s="1" t="s">
        <v>4</v>
      </c>
      <c r="D1" s="1" t="s">
        <v>5</v>
      </c>
      <c r="E1" s="1" t="s">
        <v>6</v>
      </c>
      <c r="F1" s="1" t="s">
        <v>7</v>
      </c>
    </row>
    <row r="2" customFormat="false" ht="15" hidden="false" customHeight="false" outlineLevel="0" collapsed="false">
      <c r="A2" s="3" t="s">
        <v>11</v>
      </c>
      <c r="B2" s="4" t="n">
        <f aca="false">COUNTIF('Danh sach mau'!C:C,A2)</f>
        <v>2</v>
      </c>
      <c r="C2" s="5" t="s">
        <v>13</v>
      </c>
      <c r="D2" s="5" t="s">
        <v>14</v>
      </c>
      <c r="E2" s="5" t="s">
        <v>15</v>
      </c>
      <c r="F2" s="5" t="s">
        <v>16</v>
      </c>
    </row>
    <row r="3" customFormat="false" ht="15" hidden="false" customHeight="false" outlineLevel="0" collapsed="false">
      <c r="A3" s="3" t="s">
        <v>22</v>
      </c>
      <c r="B3" s="4" t="n">
        <f aca="false">COUNTIF('Danh sach mau'!C:C,A3)</f>
        <v>5</v>
      </c>
      <c r="C3" s="5" t="s">
        <v>24</v>
      </c>
      <c r="D3" s="5" t="s">
        <v>25</v>
      </c>
      <c r="E3" s="5" t="s">
        <v>15</v>
      </c>
      <c r="F3" s="5" t="s">
        <v>16</v>
      </c>
    </row>
    <row r="4" customFormat="false" ht="15" hidden="false" customHeight="false" outlineLevel="0" collapsed="false">
      <c r="A4" s="3" t="s">
        <v>38</v>
      </c>
      <c r="B4" s="4" t="n">
        <f aca="false">COUNTIF('Danh sach mau'!C:C,A4)</f>
        <v>2</v>
      </c>
      <c r="C4" s="5" t="s">
        <v>40</v>
      </c>
      <c r="D4" s="5" t="s">
        <v>41</v>
      </c>
      <c r="E4" s="5" t="s">
        <v>15</v>
      </c>
      <c r="F4" s="5" t="s">
        <v>16</v>
      </c>
    </row>
    <row r="5" customFormat="false" ht="15" hidden="false" customHeight="false" outlineLevel="0" collapsed="false">
      <c r="A5" s="3" t="s">
        <v>46</v>
      </c>
      <c r="B5" s="4" t="n">
        <f aca="false">COUNTIF('Danh sach mau'!C:C,A5)</f>
        <v>3</v>
      </c>
      <c r="C5" s="5" t="s">
        <v>47</v>
      </c>
      <c r="D5" s="5" t="s">
        <v>41</v>
      </c>
      <c r="E5" s="5" t="s">
        <v>15</v>
      </c>
      <c r="F5" s="5" t="s">
        <v>16</v>
      </c>
    </row>
    <row r="6" customFormat="false" ht="15" hidden="false" customHeight="false" outlineLevel="0" collapsed="false">
      <c r="A6" s="3" t="s">
        <v>53</v>
      </c>
      <c r="B6" s="4" t="n">
        <f aca="false">COUNTIF('Danh sach mau'!C:C,A6)</f>
        <v>4</v>
      </c>
      <c r="C6" s="5" t="s">
        <v>54</v>
      </c>
      <c r="D6" s="5" t="s">
        <v>55</v>
      </c>
      <c r="E6" s="5" t="s">
        <v>15</v>
      </c>
      <c r="F6" s="5" t="s">
        <v>16</v>
      </c>
    </row>
    <row r="7" customFormat="false" ht="15" hidden="false" customHeight="false" outlineLevel="0" collapsed="false">
      <c r="A7" s="3" t="s">
        <v>65</v>
      </c>
      <c r="B7" s="4" t="n">
        <f aca="false">COUNTIF('Danh sach mau'!C:C,A7)</f>
        <v>4</v>
      </c>
      <c r="C7" s="5" t="s">
        <v>67</v>
      </c>
      <c r="D7" s="5" t="s">
        <v>14</v>
      </c>
      <c r="E7" s="5" t="s">
        <v>15</v>
      </c>
      <c r="F7" s="5" t="s">
        <v>16</v>
      </c>
    </row>
    <row r="8" customFormat="false" ht="15" hidden="false" customHeight="false" outlineLevel="0" collapsed="false">
      <c r="A8" s="3" t="s">
        <v>78</v>
      </c>
      <c r="B8" s="6" t="n">
        <f aca="false">SUM(B2:B7)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2026-07-21T04:26:10Z</dcterms:created>
  <dc:creator>openpyxl</dc:creator>
  <dc:description/>
  <dc:language>en-US</dc:language>
  <cp:lastModifiedBy/>
  <dcterms:modified xsi:type="dcterms:W3CDTF">2026-07-21T04:26:10Z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